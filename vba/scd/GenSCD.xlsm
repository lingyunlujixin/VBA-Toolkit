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0" windowWidth="19200" windowHeight="11640"/>
  </bookViews>
  <sheets>
    <sheet name="borrowlist,s_hyr_borrowlist_h" sheetId="1" r:id="rId1"/>
    <sheet name="Sheet3" sheetId="3" state="hidden" r:id="rId2"/>
  </sheets>
  <functionGroups/>
  <calcPr calcId="124519"/>
</workbook>
</file>

<file path=xl/calcChain.xml><?xml version="1.0" encoding="utf-8"?>
<calcChain xmlns="http://schemas.openxmlformats.org/spreadsheetml/2006/main">
  <c r="J6" i="3"/>
  <c r="J3"/>
  <c r="M7"/>
  <c r="K7"/>
  <c r="K8"/>
  <c r="K4"/>
</calcChain>
</file>

<file path=xl/sharedStrings.xml><?xml version="1.0" encoding="utf-8"?>
<sst xmlns="http://schemas.openxmlformats.org/spreadsheetml/2006/main" count="416" uniqueCount="225">
  <si>
    <t>COMMENT</t>
  </si>
  <si>
    <t>`lendid`</t>
  </si>
  <si>
    <t>`crmlc_uid`</t>
  </si>
  <si>
    <t>`uid`</t>
  </si>
  <si>
    <t>`usrcustid`</t>
  </si>
  <si>
    <t>`borrowid`</t>
  </si>
  <si>
    <t>`crmdk_uid`</t>
  </si>
  <si>
    <t>`dkuid`</t>
  </si>
  <si>
    <t>`dkusrcustid`</t>
  </si>
  <si>
    <t>`loanmatcterm`</t>
  </si>
  <si>
    <t>`crmlcmatcterm`</t>
  </si>
  <si>
    <t>`fromtype`</t>
  </si>
  <si>
    <t>`source_addr`</t>
  </si>
  <si>
    <t>`matchrate`</t>
  </si>
  <si>
    <t>`matchmoney`</t>
  </si>
  <si>
    <t>`servicemoney`</t>
  </si>
  <si>
    <t>`repay`</t>
  </si>
  <si>
    <t>`realrepay`</t>
  </si>
  <si>
    <t>`trxid`</t>
  </si>
  <si>
    <t>`repaytype`</t>
  </si>
  <si>
    <t>`orddatebid`</t>
  </si>
  <si>
    <t>`ordidbid`</t>
  </si>
  <si>
    <t>`loans_orddate`</t>
  </si>
  <si>
    <t>`repay_orddate`</t>
  </si>
  <si>
    <t>`repay_ordid`</t>
  </si>
  <si>
    <t>`frezzeordid`</t>
  </si>
  <si>
    <t>`lendtime`</t>
  </si>
  <si>
    <t>`autobidtime`</t>
  </si>
  <si>
    <t>`statusrtime`</t>
  </si>
  <si>
    <t>`is_autobid`</t>
  </si>
  <si>
    <t>`lendstatus`</t>
  </si>
  <si>
    <t>`status`</t>
  </si>
  <si>
    <t>`is_transfer`</t>
  </si>
  <si>
    <t>`is_newcont`</t>
  </si>
  <si>
    <t>`newcontnum`</t>
  </si>
  <si>
    <t>`newcontid`</t>
  </si>
  <si>
    <t>`transfermoney`</t>
  </si>
  <si>
    <t>`transferamt`</t>
  </si>
  <si>
    <t>`service`</t>
  </si>
  <si>
    <t>`newcrmid`</t>
  </si>
  <si>
    <t>`transfertime`</t>
  </si>
  <si>
    <t>`transferstatus`</t>
  </si>
  <si>
    <t>`newconturl`</t>
  </si>
  <si>
    <t>`addtime`</t>
  </si>
  <si>
    <t>`reclaim_amount`</t>
  </si>
  <si>
    <t>INT(11)</t>
  </si>
  <si>
    <t>CHAR(20)</t>
  </si>
  <si>
    <t>INT(10)</t>
  </si>
  <si>
    <t>TINYINT(2)</t>
  </si>
  <si>
    <t>TINYINT(1)</t>
  </si>
  <si>
    <t>INT(8)</t>
  </si>
  <si>
    <t>DECIMAL(10,8)</t>
  </si>
  <si>
    <t>DECIMAL(10,2)</t>
  </si>
  <si>
    <t>VARCHAR(20)</t>
  </si>
  <si>
    <t>BIGINT(15)</t>
  </si>
  <si>
    <t>CHAR(15)</t>
  </si>
  <si>
    <t>VARCHAR(150)</t>
  </si>
  <si>
    <t>TIMESTAMP</t>
  </si>
  <si>
    <t>VARCHAR(50)</t>
  </si>
  <si>
    <t>`sms_status`</t>
  </si>
  <si>
    <t>SMALLINT(1)</t>
  </si>
  <si>
    <t>`batch_number`</t>
  </si>
  <si>
    <t>`on_bill_value`</t>
  </si>
  <si>
    <t>`cont_agreement_id`</t>
  </si>
  <si>
    <t>列</t>
    <phoneticPr fontId="1" type="noConversion"/>
  </si>
  <si>
    <t>OPER_TYPE</t>
    <phoneticPr fontId="1" type="noConversion"/>
  </si>
  <si>
    <t>FILED_TYPE</t>
    <phoneticPr fontId="1" type="noConversion"/>
  </si>
  <si>
    <t>KEY</t>
    <phoneticPr fontId="1" type="noConversion"/>
  </si>
  <si>
    <t>INSERT</t>
    <phoneticPr fontId="1" type="noConversion"/>
  </si>
  <si>
    <t>中文注释</t>
    <phoneticPr fontId="1" type="noConversion"/>
  </si>
  <si>
    <t>来源</t>
  </si>
  <si>
    <t>还款类型</t>
  </si>
  <si>
    <t>是否自动投标</t>
  </si>
  <si>
    <t>出借状态1待放款</t>
  </si>
  <si>
    <t>是否已转让</t>
  </si>
  <si>
    <t>紧急赎回状态</t>
  </si>
  <si>
    <t>拆单短信状态</t>
  </si>
  <si>
    <t>理财id</t>
  </si>
  <si>
    <t>理财客户id</t>
  </si>
  <si>
    <t>出借用户id</t>
  </si>
  <si>
    <t>理财用户托管户</t>
  </si>
  <si>
    <t>借款id</t>
  </si>
  <si>
    <t>个贷客户id</t>
  </si>
  <si>
    <t>借款用户id</t>
  </si>
  <si>
    <t>借款用户汇付id</t>
  </si>
  <si>
    <t>当前借款匹配期数</t>
  </si>
  <si>
    <t>当前理财匹配期数</t>
  </si>
  <si>
    <t>债权转让出借id</t>
  </si>
  <si>
    <t>分配金额比例</t>
  </si>
  <si>
    <t>匹配金额</t>
  </si>
  <si>
    <t>债权匹配分账（元）</t>
  </si>
  <si>
    <t>服务费</t>
  </si>
  <si>
    <t>还款金额</t>
  </si>
  <si>
    <t>一次性还款额</t>
  </si>
  <si>
    <t>投标编号</t>
  </si>
  <si>
    <t>投标时间</t>
  </si>
  <si>
    <t>投标orderid</t>
  </si>
  <si>
    <t>放款时间</t>
  </si>
  <si>
    <t>放款订单id</t>
  </si>
  <si>
    <t>还款订单id</t>
  </si>
  <si>
    <t>资金冻结id</t>
  </si>
  <si>
    <t>投标日期</t>
  </si>
  <si>
    <t>还款更新时间</t>
  </si>
  <si>
    <t>还款状态：1待还款2还款成功3代偿还款成功4还款失败5提前还款6逾期月还</t>
  </si>
  <si>
    <t>否是签署转让合同</t>
  </si>
  <si>
    <t>合同序号</t>
  </si>
  <si>
    <t>合同编号</t>
  </si>
  <si>
    <t>实际转让金额</t>
  </si>
  <si>
    <t>承接金额</t>
  </si>
  <si>
    <t>转让服务费</t>
  </si>
  <si>
    <t>新理财id</t>
  </si>
  <si>
    <t>紧急赎回时间</t>
  </si>
  <si>
    <t>转让协议</t>
  </si>
  <si>
    <t>回款金额</t>
  </si>
  <si>
    <t>短信批次号ID</t>
  </si>
  <si>
    <t>转让上期价值</t>
  </si>
  <si>
    <t>`id`</t>
    <phoneticPr fontId="1" type="noConversion"/>
  </si>
  <si>
    <t>update</t>
    <phoneticPr fontId="1" type="noConversion"/>
  </si>
  <si>
    <t>价格</t>
    <phoneticPr fontId="1" type="noConversion"/>
  </si>
  <si>
    <t>品类</t>
    <phoneticPr fontId="1" type="noConversion"/>
  </si>
  <si>
    <t>牛肉米粉</t>
    <phoneticPr fontId="1" type="noConversion"/>
  </si>
  <si>
    <t>煎蛋</t>
    <phoneticPr fontId="1" type="noConversion"/>
  </si>
  <si>
    <t>酸辣笋尖</t>
    <phoneticPr fontId="1" type="noConversion"/>
  </si>
  <si>
    <t>卤蛋米粉</t>
    <phoneticPr fontId="1" type="noConversion"/>
  </si>
  <si>
    <t>折后</t>
    <phoneticPr fontId="1" type="noConversion"/>
  </si>
  <si>
    <t>源表：</t>
    <phoneticPr fontId="1" type="noConversion"/>
  </si>
  <si>
    <t>目标表：</t>
    <phoneticPr fontId="1" type="noConversion"/>
  </si>
  <si>
    <t>${KTL_UDF_SCHEMA_HY}.borrowlist</t>
    <phoneticPr fontId="1" type="noConversion"/>
  </si>
  <si>
    <t>${KTL_UDF_SCHEMA_DW}.s_hyr_borrowlist_h</t>
    <phoneticPr fontId="1" type="noConversion"/>
  </si>
  <si>
    <t>id</t>
  </si>
  <si>
    <t>lendid</t>
  </si>
  <si>
    <t>crmlc_uid</t>
  </si>
  <si>
    <t>uid</t>
  </si>
  <si>
    <t>usrcustid</t>
  </si>
  <si>
    <t>borrowid</t>
  </si>
  <si>
    <t>crmdk_uid</t>
  </si>
  <si>
    <t>dkuid</t>
  </si>
  <si>
    <t>dkusrcustid</t>
  </si>
  <si>
    <t>loanmatcterm</t>
  </si>
  <si>
    <t>crmlcmatcterm</t>
  </si>
  <si>
    <t>fromtype</t>
  </si>
  <si>
    <t>source_addr</t>
  </si>
  <si>
    <t>matchrate</t>
  </si>
  <si>
    <t>matchmoney</t>
  </si>
  <si>
    <t>ledger</t>
  </si>
  <si>
    <t>servicemoney</t>
  </si>
  <si>
    <t>repay</t>
  </si>
  <si>
    <t>realrepay</t>
  </si>
  <si>
    <t>trxid</t>
  </si>
  <si>
    <t>repaytype</t>
  </si>
  <si>
    <t>orddatebid</t>
  </si>
  <si>
    <t>ordidbid</t>
  </si>
  <si>
    <t>loans_orddate</t>
  </si>
  <si>
    <t>loans_ordid</t>
  </si>
  <si>
    <t>repay_orddate</t>
  </si>
  <si>
    <t>repay_ordid</t>
  </si>
  <si>
    <t>frezzeordid</t>
  </si>
  <si>
    <t>lendtime</t>
  </si>
  <si>
    <t>autobidtime</t>
  </si>
  <si>
    <t>statusrtime</t>
  </si>
  <si>
    <t>is_autobid</t>
  </si>
  <si>
    <t>lendstatus</t>
  </si>
  <si>
    <t>status</t>
  </si>
  <si>
    <t>is_transfer</t>
  </si>
  <si>
    <t>is_newcont</t>
  </si>
  <si>
    <t>newcontnum</t>
  </si>
  <si>
    <t>newcontid</t>
  </si>
  <si>
    <t>transfermoney</t>
  </si>
  <si>
    <t>transferamt</t>
  </si>
  <si>
    <t>service</t>
  </si>
  <si>
    <t>newcrmid</t>
  </si>
  <si>
    <t>transfertime</t>
  </si>
  <si>
    <t>transferstatus</t>
  </si>
  <si>
    <t>newconturl</t>
  </si>
  <si>
    <t>addtime</t>
  </si>
  <si>
    <t>reclaim_amount</t>
  </si>
  <si>
    <t>sms_status</t>
  </si>
  <si>
    <t>batch_number</t>
  </si>
  <si>
    <t>on_bill_value</t>
  </si>
  <si>
    <t>cont_agreement_id</t>
  </si>
  <si>
    <t>\N</t>
  </si>
  <si>
    <t>/uploads/contract/2015/03/03/0394d97328ed2f5b4b579bad0554cdaa.pdf</t>
  </si>
  <si>
    <t>31027</t>
  </si>
  <si>
    <t>155082</t>
  </si>
  <si>
    <t>149743</t>
  </si>
  <si>
    <t>116155</t>
  </si>
  <si>
    <t>6000060019453441</t>
  </si>
  <si>
    <t>273759</t>
  </si>
  <si>
    <t>612323</t>
  </si>
  <si>
    <t>115433</t>
  </si>
  <si>
    <t>6000060019161140</t>
  </si>
  <si>
    <t>2</t>
  </si>
  <si>
    <t>1</t>
  </si>
  <si>
    <t>143282</t>
  </si>
  <si>
    <t>0.18221574</t>
  </si>
  <si>
    <t>4803.60</t>
  </si>
  <si>
    <t>0.00</t>
  </si>
  <si>
    <t>234.93</t>
  </si>
  <si>
    <t>201502090003037035</t>
  </si>
  <si>
    <t>0</t>
  </si>
  <si>
    <t>20150303</t>
  </si>
  <si>
    <t>14249325440987140966</t>
  </si>
  <si>
    <t>20150303090815002654</t>
  </si>
  <si>
    <t>20150325</t>
  </si>
  <si>
    <t>1425344895</t>
  </si>
  <si>
    <t>1427280772</t>
  </si>
  <si>
    <t>4</t>
  </si>
  <si>
    <t>2015-03-03 09:08:13</t>
  </si>
  <si>
    <t>156617</t>
  </si>
  <si>
    <t>start_dt</t>
  </si>
  <si>
    <t>end_dt</t>
  </si>
  <si>
    <t>load_stamp</t>
  </si>
  <si>
    <t>1425344893</t>
  </si>
  <si>
    <t>2015-08-03</t>
  </si>
  <si>
    <t>3000-12-31</t>
  </si>
  <si>
    <t>2015-08-24 16:10:46</t>
  </si>
  <si>
    <t>`ledger`</t>
    <phoneticPr fontId="1" type="noConversion"/>
  </si>
  <si>
    <t>${MAX_DT}</t>
    <phoneticPr fontId="1" type="noConversion"/>
  </si>
  <si>
    <t>ETL日期：</t>
    <phoneticPr fontId="1" type="noConversion"/>
  </si>
  <si>
    <t>${MY_DT}</t>
    <phoneticPr fontId="1" type="noConversion"/>
  </si>
  <si>
    <t>最大日期：</t>
    <phoneticPr fontId="1" type="noConversion"/>
  </si>
  <si>
    <t>`loans_ordid`</t>
    <phoneticPr fontId="1" type="noConversion"/>
  </si>
  <si>
    <t>PART 1</t>
    <phoneticPr fontId="1" type="noConversion"/>
  </si>
  <si>
    <t>PART 2</t>
    <phoneticPr fontId="1" type="noConversion"/>
  </si>
  <si>
    <r>
      <t>SELECT column_name, column_type, 'INSERT', column_comment FROM `information_schema`.`COLUMNS` WHERE 
    table_schema = '</t>
    </r>
    <r>
      <rPr>
        <i/>
        <sz val="11"/>
        <color rgb="FFFF0000"/>
        <rFont val="宋体"/>
        <family val="3"/>
        <charset val="134"/>
        <scheme val="minor"/>
      </rPr>
      <t>src_hyr</t>
    </r>
    <r>
      <rPr>
        <sz val="11"/>
        <color theme="8" tint="0.79998168889431442"/>
        <rFont val="宋体"/>
        <family val="2"/>
        <charset val="134"/>
        <scheme val="minor"/>
      </rPr>
      <t>' 
AND table_name   = '</t>
    </r>
    <r>
      <rPr>
        <i/>
        <sz val="11"/>
        <color rgb="FFFF0000"/>
        <rFont val="宋体"/>
        <family val="3"/>
        <charset val="134"/>
        <scheme val="minor"/>
      </rPr>
      <t>borrowlist</t>
    </r>
    <r>
      <rPr>
        <sz val="11"/>
        <color theme="8" tint="0.79998168889431442"/>
        <rFont val="宋体"/>
        <family val="2"/>
        <charset val="134"/>
        <scheme val="minor"/>
      </rPr>
      <t xml:space="preserve">'
</t>
    </r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</si>
</sst>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8" tint="0.79998168889431442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quotePrefix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49" fontId="0" fillId="3" borderId="0" xfId="0" applyNumberFormat="1" applyFill="1">
      <alignment vertical="center"/>
    </xf>
    <xf numFmtId="49" fontId="0" fillId="0" borderId="0" xfId="0" applyNumberFormat="1">
      <alignment vertical="center"/>
    </xf>
    <xf numFmtId="49" fontId="0" fillId="2" borderId="0" xfId="0" applyNumberFormat="1" applyFill="1">
      <alignment vertical="center"/>
    </xf>
    <xf numFmtId="0" fontId="0" fillId="4" borderId="1" xfId="0" applyFill="1" applyBorder="1">
      <alignment vertical="center"/>
    </xf>
    <xf numFmtId="0" fontId="2" fillId="5" borderId="0" xfId="0" applyFont="1" applyFill="1" applyAlignment="1">
      <alignment vertical="center" wrapText="1"/>
    </xf>
    <xf numFmtId="0" fontId="4" fillId="6" borderId="0" xfId="0" applyFont="1" applyFill="1">
      <alignment vertical="center"/>
    </xf>
    <xf numFmtId="0" fontId="4" fillId="6" borderId="2" xfId="0" applyFont="1" applyFill="1" applyBorder="1" applyAlignment="1">
      <alignment vertical="center"/>
    </xf>
    <xf numFmtId="49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212911</xdr:colOff>
      <xdr:row>17</xdr:row>
      <xdr:rowOff>11206</xdr:rowOff>
    </xdr:from>
    <xdr:to>
      <xdr:col>9</xdr:col>
      <xdr:colOff>1019735</xdr:colOff>
      <xdr:row>39</xdr:row>
      <xdr:rowOff>100853</xdr:rowOff>
    </xdr:to>
    <xdr:sp macro="" textlink="">
      <xdr:nvSpPr>
        <xdr:cNvPr id="2" name="圆角矩形 1"/>
        <xdr:cNvSpPr/>
      </xdr:nvSpPr>
      <xdr:spPr>
        <a:xfrm>
          <a:off x="7967382" y="3563471"/>
          <a:ext cx="6521824" cy="3787588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/>
        <a:p>
          <a:pPr algn="l"/>
          <a:r>
            <a:rPr lang="zh-CN" altLang="en-US" sz="1100">
              <a:solidFill>
                <a:srgbClr val="FF0000"/>
              </a:solidFill>
            </a:rPr>
            <a:t>步骤：</a:t>
          </a:r>
          <a:endParaRPr lang="en-US" altLang="zh-CN" sz="1100">
            <a:solidFill>
              <a:srgbClr val="FF0000"/>
            </a:solidFill>
          </a:endParaRPr>
        </a:p>
        <a:p>
          <a:pPr algn="l"/>
          <a:endParaRPr lang="en-US" altLang="zh-CN" sz="1100">
            <a:solidFill>
              <a:srgbClr val="FF0000"/>
            </a:solidFill>
          </a:endParaRPr>
        </a:p>
        <a:p>
          <a:pPr algn="l"/>
          <a:r>
            <a:rPr lang="en-US" altLang="zh-CN" sz="1100" baseline="0">
              <a:solidFill>
                <a:srgbClr val="FF0000"/>
              </a:solidFill>
            </a:rPr>
            <a:t>	1</a:t>
          </a:r>
          <a:r>
            <a:rPr lang="zh-CN" altLang="en-US" sz="1100" baseline="0">
              <a:solidFill>
                <a:srgbClr val="FF0000"/>
              </a:solidFill>
            </a:rPr>
            <a:t>）修改</a:t>
          </a:r>
          <a:r>
            <a:rPr lang="ja-JP" altLang="en-US" sz="1100" baseline="0">
              <a:solidFill>
                <a:srgbClr val="FF0000"/>
              </a:solidFill>
            </a:rPr>
            <a:t>「</a:t>
          </a:r>
          <a:r>
            <a:rPr lang="en-US" altLang="ja-JP" sz="1100" baseline="0">
              <a:solidFill>
                <a:srgbClr val="FF0000"/>
              </a:solidFill>
            </a:rPr>
            <a:t>PART 1</a:t>
          </a:r>
          <a:r>
            <a:rPr lang="ja-JP" altLang="en-US" sz="1100" baseline="0">
              <a:solidFill>
                <a:srgbClr val="FF0000"/>
              </a:solidFill>
            </a:rPr>
            <a:t>」</a:t>
          </a:r>
          <a:r>
            <a:rPr lang="zh-CN" altLang="en-US" sz="1100" baseline="0">
              <a:solidFill>
                <a:srgbClr val="FF0000"/>
              </a:solidFill>
            </a:rPr>
            <a:t>，指定要生成的拉链表对应的源、目标</a:t>
          </a:r>
          <a:endParaRPr lang="en-US" altLang="zh-CN" sz="1100" baseline="0">
            <a:solidFill>
              <a:srgbClr val="FF0000"/>
            </a:solidFill>
          </a:endParaRPr>
        </a:p>
        <a:p>
          <a:pPr algn="l"/>
          <a:endParaRPr lang="en-US" altLang="ja-JP" sz="1100" baseline="0">
            <a:solidFill>
              <a:srgbClr val="FF0000"/>
            </a:solidFill>
          </a:endParaRPr>
        </a:p>
        <a:p>
          <a:pPr algn="l"/>
          <a:r>
            <a:rPr lang="zh-CN" altLang="en-US" sz="1100" baseline="0">
              <a:solidFill>
                <a:srgbClr val="FF0000"/>
              </a:solidFill>
            </a:rPr>
            <a:t> </a:t>
          </a:r>
          <a:r>
            <a:rPr lang="en-US" altLang="zh-CN" sz="1100" baseline="0">
              <a:solidFill>
                <a:srgbClr val="FF0000"/>
              </a:solidFill>
            </a:rPr>
            <a:t>	2</a:t>
          </a:r>
          <a:r>
            <a:rPr lang="zh-CN" altLang="en-US" sz="1100" baseline="0">
              <a:solidFill>
                <a:srgbClr val="FF0000"/>
              </a:solidFill>
            </a:rPr>
            <a:t>） 修改</a:t>
          </a:r>
          <a:r>
            <a:rPr lang="ja-JP" altLang="en-US" sz="1100" baseline="0">
              <a:solidFill>
                <a:srgbClr val="FF0000"/>
              </a:solidFill>
            </a:rPr>
            <a:t>「</a:t>
          </a:r>
          <a:r>
            <a:rPr lang="en-US" altLang="zh-CN" sz="1100" baseline="0">
              <a:solidFill>
                <a:srgbClr val="FF0000"/>
              </a:solidFill>
            </a:rPr>
            <a:t>PART</a:t>
          </a:r>
          <a:r>
            <a:rPr lang="zh-CN" altLang="en-US" sz="1100" baseline="0">
              <a:solidFill>
                <a:srgbClr val="FF0000"/>
              </a:solidFill>
            </a:rPr>
            <a:t> </a:t>
          </a:r>
          <a:r>
            <a:rPr lang="en-US" altLang="zh-CN" sz="1100" baseline="0">
              <a:solidFill>
                <a:srgbClr val="FF0000"/>
              </a:solidFill>
            </a:rPr>
            <a:t>2</a:t>
          </a:r>
          <a:r>
            <a:rPr lang="ja-JP" altLang="en-US" sz="1100" baseline="0">
              <a:solidFill>
                <a:srgbClr val="FF0000"/>
              </a:solidFill>
            </a:rPr>
            <a:t>」</a:t>
          </a:r>
          <a:r>
            <a:rPr lang="zh-CN" altLang="en-US" sz="1100" baseline="0">
              <a:solidFill>
                <a:srgbClr val="FF0000"/>
              </a:solidFill>
            </a:rPr>
            <a:t>的</a:t>
          </a:r>
          <a:r>
            <a:rPr lang="en-US" altLang="zh-CN" sz="1100" baseline="0">
              <a:solidFill>
                <a:srgbClr val="FF0000"/>
              </a:solidFill>
            </a:rPr>
            <a:t>SQL</a:t>
          </a:r>
          <a:r>
            <a:rPr lang="zh-CN" altLang="en-US" sz="1100" baseline="0">
              <a:solidFill>
                <a:srgbClr val="FF0000"/>
              </a:solidFill>
            </a:rPr>
            <a:t>指定源表结构，并执行将结果放在左侧</a:t>
          </a:r>
          <a:endParaRPr lang="en-US" altLang="zh-CN" sz="1100" baseline="0">
            <a:solidFill>
              <a:srgbClr val="FF0000"/>
            </a:solidFill>
          </a:endParaRPr>
        </a:p>
        <a:p>
          <a:pPr algn="l"/>
          <a:endParaRPr lang="en-US" altLang="ja-JP" sz="1100" baseline="0">
            <a:solidFill>
              <a:srgbClr val="FF0000"/>
            </a:solidFill>
          </a:endParaRPr>
        </a:p>
        <a:p>
          <a:pPr algn="l"/>
          <a:r>
            <a:rPr lang="en-US" altLang="ja-JP" sz="1100" baseline="0">
              <a:solidFill>
                <a:srgbClr val="FF0000"/>
              </a:solidFill>
            </a:rPr>
            <a:t>	</a:t>
          </a:r>
          <a:r>
            <a:rPr lang="en-US" altLang="zh-CN" sz="1100" baseline="0">
              <a:solidFill>
                <a:srgbClr val="FF0000"/>
              </a:solidFill>
            </a:rPr>
            <a:t>3</a:t>
          </a:r>
          <a:r>
            <a:rPr lang="zh-CN" altLang="en-US" sz="1100" baseline="0">
              <a:solidFill>
                <a:srgbClr val="FF0000"/>
              </a:solidFill>
            </a:rPr>
            <a:t>） 修改左侧区域</a:t>
          </a:r>
          <a:r>
            <a:rPr lang="ja-JP" altLang="en-US" sz="1100" baseline="0">
              <a:solidFill>
                <a:srgbClr val="FF0000"/>
              </a:solidFill>
            </a:rPr>
            <a:t>「</a:t>
          </a:r>
          <a:r>
            <a:rPr lang="en-US" altLang="zh-CN" sz="1100" baseline="0">
              <a:solidFill>
                <a:srgbClr val="FF0000"/>
              </a:solidFill>
            </a:rPr>
            <a:t>OPER_TYPE</a:t>
          </a:r>
          <a:r>
            <a:rPr lang="ja-JP" altLang="en-US" sz="1100" baseline="0">
              <a:solidFill>
                <a:srgbClr val="FF0000"/>
              </a:solidFill>
            </a:rPr>
            <a:t>」</a:t>
          </a:r>
          <a:r>
            <a:rPr lang="zh-CN" altLang="en-US" sz="1100" baseline="0">
              <a:solidFill>
                <a:srgbClr val="FF0000"/>
              </a:solidFill>
            </a:rPr>
            <a:t>，分别指定</a:t>
          </a:r>
          <a:r>
            <a:rPr lang="en-US" altLang="zh-CN" sz="1100" baseline="0">
              <a:solidFill>
                <a:srgbClr val="FF0000"/>
              </a:solidFill>
            </a:rPr>
            <a:t>key</a:t>
          </a:r>
          <a:r>
            <a:rPr lang="zh-CN" altLang="en-US" sz="1100" baseline="0">
              <a:solidFill>
                <a:srgbClr val="FF0000"/>
              </a:solidFill>
            </a:rPr>
            <a:t>，</a:t>
          </a:r>
          <a:r>
            <a:rPr lang="en-US" altLang="zh-CN" sz="1100" baseline="0">
              <a:solidFill>
                <a:srgbClr val="FF0000"/>
              </a:solidFill>
            </a:rPr>
            <a:t>insert</a:t>
          </a:r>
          <a:r>
            <a:rPr lang="zh-CN" altLang="en-US" sz="1100" baseline="0">
              <a:solidFill>
                <a:srgbClr val="FF0000"/>
              </a:solidFill>
            </a:rPr>
            <a:t>，</a:t>
          </a:r>
          <a:r>
            <a:rPr lang="en-US" altLang="zh-CN" sz="1100" baseline="0">
              <a:solidFill>
                <a:srgbClr val="FF0000"/>
              </a:solidFill>
            </a:rPr>
            <a:t>update</a:t>
          </a:r>
          <a:r>
            <a:rPr lang="zh-CN" altLang="en-US" sz="1100" baseline="0">
              <a:solidFill>
                <a:srgbClr val="FF0000"/>
              </a:solidFill>
            </a:rPr>
            <a:t> </a:t>
          </a:r>
          <a:endParaRPr lang="en-US" altLang="zh-CN" sz="1100" baseline="0">
            <a:solidFill>
              <a:srgbClr val="FF0000"/>
            </a:solidFill>
          </a:endParaRPr>
        </a:p>
        <a:p>
          <a:pPr algn="l"/>
          <a:endParaRPr lang="en-US" altLang="zh-CN" sz="1100" baseline="0">
            <a:solidFill>
              <a:srgbClr val="FF0000"/>
            </a:solidFill>
          </a:endParaRPr>
        </a:p>
        <a:p>
          <a:pPr algn="l"/>
          <a:r>
            <a:rPr lang="en-US" altLang="zh-CN" sz="1100" baseline="0">
              <a:solidFill>
                <a:srgbClr val="FF0000"/>
              </a:solidFill>
            </a:rPr>
            <a:t>	4</a:t>
          </a:r>
          <a:r>
            <a:rPr lang="zh-CN" altLang="en-US" sz="1100" baseline="0">
              <a:solidFill>
                <a:srgbClr val="FF0000"/>
              </a:solidFill>
            </a:rPr>
            <a:t>） 点击按钮生成</a:t>
          </a:r>
          <a:r>
            <a:rPr lang="ja-JP" altLang="en-US" sz="1100" baseline="0">
              <a:solidFill>
                <a:srgbClr val="FF0000"/>
              </a:solidFill>
            </a:rPr>
            <a:t>「</a:t>
          </a:r>
          <a:r>
            <a:rPr lang="zh-CN" altLang="en-US" sz="1100" baseline="0">
              <a:solidFill>
                <a:srgbClr val="FF0000"/>
              </a:solidFill>
            </a:rPr>
            <a:t>拉链程序</a:t>
          </a:r>
          <a:r>
            <a:rPr lang="ja-JP" altLang="en-US" sz="1100" baseline="0">
              <a:solidFill>
                <a:srgbClr val="FF0000"/>
              </a:solidFill>
            </a:rPr>
            <a:t>」</a:t>
          </a:r>
          <a:r>
            <a:rPr lang="zh-CN" altLang="en-US" sz="1100" baseline="0">
              <a:solidFill>
                <a:srgbClr val="FF0000"/>
              </a:solidFill>
            </a:rPr>
            <a:t>，位置：</a:t>
          </a:r>
          <a:r>
            <a:rPr lang="en-US" altLang="zh-CN" sz="1100" baseline="0">
              <a:solidFill>
                <a:srgbClr val="FF0000"/>
              </a:solidFill>
            </a:rPr>
            <a:t>D:\tmp\tar_table_name..sql</a:t>
          </a:r>
        </a:p>
        <a:p>
          <a:pPr algn="l"/>
          <a:endParaRPr lang="en-US" altLang="zh-CN" sz="1100" baseline="0">
            <a:solidFill>
              <a:srgbClr val="FF0000"/>
            </a:solidFill>
          </a:endParaRPr>
        </a:p>
        <a:p>
          <a:pPr algn="l"/>
          <a:r>
            <a:rPr lang="zh-CN" altLang="en-US" sz="1100" baseline="0">
              <a:solidFill>
                <a:srgbClr val="FF0000"/>
              </a:solidFill>
            </a:rPr>
            <a:t>注意事项：</a:t>
          </a:r>
          <a:endParaRPr lang="en-US" altLang="zh-CN" sz="1100" baseline="0">
            <a:solidFill>
              <a:srgbClr val="FF0000"/>
            </a:solidFill>
          </a:endParaRPr>
        </a:p>
        <a:p>
          <a:pPr algn="l"/>
          <a:endParaRPr lang="en-US" altLang="zh-CN" sz="1100" baseline="0">
            <a:solidFill>
              <a:srgbClr val="FF0000"/>
            </a:solidFill>
          </a:endParaRPr>
        </a:p>
        <a:p>
          <a:pPr algn="l"/>
          <a:r>
            <a:rPr lang="en-US" altLang="zh-CN" sz="1100" baseline="0">
              <a:solidFill>
                <a:srgbClr val="FF0000"/>
              </a:solidFill>
            </a:rPr>
            <a:t>	a</a:t>
          </a:r>
          <a:r>
            <a:rPr lang="zh-CN" altLang="en-US" sz="1100" baseline="0">
              <a:solidFill>
                <a:srgbClr val="FF0000"/>
              </a:solidFill>
            </a:rPr>
            <a:t>） 事前先建立目标表：无</a:t>
          </a:r>
          <a:r>
            <a:rPr lang="en-US" altLang="zh-CN" sz="1100" baseline="0">
              <a:solidFill>
                <a:srgbClr val="FF0000"/>
              </a:solidFill>
            </a:rPr>
            <a:t>t_key</a:t>
          </a:r>
          <a:r>
            <a:rPr lang="zh-CN" altLang="en-US" sz="1100" baseline="0">
              <a:solidFill>
                <a:srgbClr val="FF0000"/>
              </a:solidFill>
            </a:rPr>
            <a:t>，其它字段和之前一致，可以不设</a:t>
          </a:r>
          <a:endParaRPr lang="en-US" altLang="zh-CN" sz="1100" baseline="0">
            <a:solidFill>
              <a:srgbClr val="FF0000"/>
            </a:solidFill>
          </a:endParaRPr>
        </a:p>
        <a:p>
          <a:pPr algn="l"/>
          <a:r>
            <a:rPr lang="en-US" altLang="zh-CN" sz="1100" baseline="0">
              <a:solidFill>
                <a:srgbClr val="FF0000"/>
              </a:solidFill>
            </a:rPr>
            <a:t>	</a:t>
          </a:r>
          <a:r>
            <a:rPr lang="zh-CN" altLang="en-US" sz="1100" baseline="0">
              <a:solidFill>
                <a:srgbClr val="FF0000"/>
              </a:solidFill>
            </a:rPr>
            <a:t>       主键（若设：</a:t>
          </a:r>
          <a:r>
            <a:rPr lang="en-US" altLang="zh-CN" sz="1100" baseline="0">
              <a:solidFill>
                <a:srgbClr val="FF0000"/>
              </a:solidFill>
            </a:rPr>
            <a:t>id + start_dt</a:t>
          </a:r>
          <a:r>
            <a:rPr lang="zh-CN" altLang="en-US" sz="1100" baseline="0">
              <a:solidFill>
                <a:srgbClr val="FF0000"/>
              </a:solidFill>
            </a:rPr>
            <a:t>），必须在业务主键建立索引，参考</a:t>
          </a:r>
          <a:r>
            <a:rPr lang="en-US" altLang="zh-CN" sz="1100" baseline="0">
              <a:solidFill>
                <a:srgbClr val="FF0000"/>
              </a:solidFill>
            </a:rPr>
            <a:t>borrowlilst</a:t>
          </a:r>
        </a:p>
        <a:p>
          <a:pPr algn="l"/>
          <a:endParaRPr lang="en-US" altLang="zh-CN" sz="1100">
            <a:solidFill>
              <a:srgbClr val="FF0000"/>
            </a:solidFill>
          </a:endParaRPr>
        </a:p>
        <a:p>
          <a:pPr algn="l"/>
          <a:r>
            <a:rPr lang="en-US" altLang="zh-CN" sz="1100">
              <a:solidFill>
                <a:srgbClr val="FF0000"/>
              </a:solidFill>
            </a:rPr>
            <a:t>	b</a:t>
          </a:r>
          <a:r>
            <a:rPr lang="zh-CN" altLang="en-US" sz="1100">
              <a:solidFill>
                <a:srgbClr val="FF0000"/>
              </a:solidFill>
            </a:rPr>
            <a:t>） 特殊情况：一些数据类型（如</a:t>
          </a:r>
          <a:r>
            <a:rPr lang="en-US" altLang="zh-CN" sz="1100">
              <a:solidFill>
                <a:srgbClr val="FF0000"/>
              </a:solidFill>
            </a:rPr>
            <a:t>timestamp</a:t>
          </a:r>
          <a:r>
            <a:rPr lang="zh-CN" altLang="en-US" sz="1100">
              <a:solidFill>
                <a:srgbClr val="FF0000"/>
              </a:solidFill>
            </a:rPr>
            <a:t>类型）比较时需要处理一下。</a:t>
          </a:r>
          <a:endParaRPr lang="en-US" altLang="zh-CN" sz="1100">
            <a:solidFill>
              <a:srgbClr val="FF0000"/>
            </a:solidFill>
          </a:endParaRPr>
        </a:p>
        <a:p>
          <a:pPr algn="l"/>
          <a:r>
            <a:rPr lang="en-US" altLang="zh-CN" sz="1100">
              <a:solidFill>
                <a:srgbClr val="FF0000"/>
              </a:solidFill>
            </a:rPr>
            <a:t>	</a:t>
          </a:r>
          <a:r>
            <a:rPr lang="zh-CN" altLang="en-US" sz="1100" baseline="0">
              <a:solidFill>
                <a:srgbClr val="FF0000"/>
              </a:solidFill>
            </a:rPr>
            <a:t>        目前只考虑了</a:t>
          </a:r>
          <a:r>
            <a:rPr lang="en-US" altLang="zh-CN" sz="1100" baseline="0">
              <a:solidFill>
                <a:srgbClr val="FF0000"/>
              </a:solidFill>
            </a:rPr>
            <a:t>TIMESTAMP</a:t>
          </a:r>
          <a:r>
            <a:rPr lang="zh-CN" altLang="en-US" sz="1100" baseline="0">
              <a:solidFill>
                <a:srgbClr val="FF0000"/>
              </a:solidFill>
            </a:rPr>
            <a:t>，其它如需添加需要另加讨论。</a:t>
          </a:r>
          <a:endParaRPr lang="en-US" altLang="zh-CN" sz="1100" baseline="0">
            <a:solidFill>
              <a:srgbClr val="FF0000"/>
            </a:solidFill>
          </a:endParaRPr>
        </a:p>
        <a:p>
          <a:pPr algn="l"/>
          <a:endParaRPr lang="en-US" altLang="zh-CN" sz="1100" baseline="0">
            <a:solidFill>
              <a:srgbClr val="FF0000"/>
            </a:solidFill>
          </a:endParaRPr>
        </a:p>
        <a:p>
          <a:pPr algn="l"/>
          <a:r>
            <a:rPr lang="en-US" altLang="zh-CN" sz="1100" baseline="0">
              <a:solidFill>
                <a:srgbClr val="FF0000"/>
              </a:solidFill>
            </a:rPr>
            <a:t>	c</a:t>
          </a:r>
          <a:r>
            <a:rPr lang="zh-CN" altLang="en-US" sz="1100" baseline="0">
              <a:solidFill>
                <a:srgbClr val="FF0000"/>
              </a:solidFill>
            </a:rPr>
            <a:t>） 发现</a:t>
          </a:r>
          <a:r>
            <a:rPr lang="en-US" altLang="zh-CN" sz="1100" baseline="0">
              <a:solidFill>
                <a:srgbClr val="FF0000"/>
              </a:solidFill>
            </a:rPr>
            <a:t>bug</a:t>
          </a:r>
          <a:r>
            <a:rPr lang="zh-CN" altLang="en-US" sz="1100" baseline="0">
              <a:solidFill>
                <a:srgbClr val="FF0000"/>
              </a:solidFill>
            </a:rPr>
            <a:t>及时联系</a:t>
          </a:r>
          <a:endParaRPr lang="zh-CN" altLang="en-US" sz="11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53"/>
  <sheetViews>
    <sheetView tabSelected="1" topLeftCell="A13" zoomScale="85" zoomScaleNormal="85" workbookViewId="0">
      <selection activeCell="E26" sqref="E26"/>
    </sheetView>
  </sheetViews>
  <sheetFormatPr defaultRowHeight="13.5"/>
  <cols>
    <col min="1" max="3" width="21.25" customWidth="1"/>
    <col min="4" max="4" width="19.875" customWidth="1"/>
    <col min="7" max="7" width="57.125" customWidth="1"/>
    <col min="10" max="10" width="43.875" bestFit="1" customWidth="1"/>
  </cols>
  <sheetData>
    <row r="1" spans="1:8">
      <c r="A1" s="3" t="s">
        <v>64</v>
      </c>
      <c r="B1" s="3" t="s">
        <v>66</v>
      </c>
      <c r="C1" s="3" t="s">
        <v>65</v>
      </c>
      <c r="D1" s="3" t="s">
        <v>69</v>
      </c>
      <c r="F1" s="3" t="s">
        <v>125</v>
      </c>
      <c r="G1" s="7" t="s">
        <v>127</v>
      </c>
      <c r="H1" s="10" t="s">
        <v>222</v>
      </c>
    </row>
    <row r="2" spans="1:8">
      <c r="A2" t="s">
        <v>116</v>
      </c>
      <c r="B2" t="s">
        <v>45</v>
      </c>
      <c r="C2" t="s">
        <v>67</v>
      </c>
      <c r="F2" s="3" t="s">
        <v>126</v>
      </c>
      <c r="G2" s="7" t="s">
        <v>128</v>
      </c>
      <c r="H2" s="10"/>
    </row>
    <row r="3" spans="1:8">
      <c r="A3" t="s">
        <v>1</v>
      </c>
      <c r="B3" t="s">
        <v>45</v>
      </c>
      <c r="C3" t="s">
        <v>68</v>
      </c>
      <c r="D3" t="s">
        <v>77</v>
      </c>
      <c r="F3" s="3" t="s">
        <v>220</v>
      </c>
      <c r="G3" s="7" t="s">
        <v>217</v>
      </c>
      <c r="H3" s="10"/>
    </row>
    <row r="4" spans="1:8">
      <c r="A4" t="s">
        <v>2</v>
      </c>
      <c r="B4" t="s">
        <v>45</v>
      </c>
      <c r="C4" t="s">
        <v>68</v>
      </c>
      <c r="D4" t="s">
        <v>78</v>
      </c>
      <c r="F4" s="3" t="s">
        <v>218</v>
      </c>
      <c r="G4" s="7" t="s">
        <v>219</v>
      </c>
      <c r="H4" s="10"/>
    </row>
    <row r="5" spans="1:8">
      <c r="A5" t="s">
        <v>3</v>
      </c>
      <c r="B5" t="s">
        <v>45</v>
      </c>
      <c r="C5" t="s">
        <v>68</v>
      </c>
      <c r="D5" t="s">
        <v>79</v>
      </c>
    </row>
    <row r="6" spans="1:8">
      <c r="A6" t="s">
        <v>4</v>
      </c>
      <c r="B6" t="s">
        <v>46</v>
      </c>
      <c r="C6" t="s">
        <v>68</v>
      </c>
      <c r="D6" t="s">
        <v>80</v>
      </c>
    </row>
    <row r="7" spans="1:8">
      <c r="A7" t="s">
        <v>5</v>
      </c>
      <c r="B7" s="1" t="s">
        <v>45</v>
      </c>
      <c r="C7" t="s">
        <v>117</v>
      </c>
      <c r="D7" t="s">
        <v>81</v>
      </c>
    </row>
    <row r="8" spans="1:8">
      <c r="A8" t="s">
        <v>6</v>
      </c>
      <c r="B8" t="s">
        <v>45</v>
      </c>
      <c r="C8" t="s">
        <v>117</v>
      </c>
      <c r="D8" t="s">
        <v>82</v>
      </c>
    </row>
    <row r="9" spans="1:8">
      <c r="A9" t="s">
        <v>7</v>
      </c>
      <c r="B9" t="s">
        <v>47</v>
      </c>
      <c r="C9" t="s">
        <v>117</v>
      </c>
      <c r="D9" t="s">
        <v>83</v>
      </c>
    </row>
    <row r="10" spans="1:8" ht="67.5">
      <c r="A10" t="s">
        <v>8</v>
      </c>
      <c r="B10" t="s">
        <v>46</v>
      </c>
      <c r="C10" t="s">
        <v>117</v>
      </c>
      <c r="D10" t="s">
        <v>84</v>
      </c>
      <c r="G10" s="8" t="s">
        <v>224</v>
      </c>
      <c r="H10" s="9" t="s">
        <v>223</v>
      </c>
    </row>
    <row r="11" spans="1:8">
      <c r="A11" t="s">
        <v>9</v>
      </c>
      <c r="B11" t="s">
        <v>48</v>
      </c>
      <c r="C11" t="s">
        <v>117</v>
      </c>
      <c r="D11" t="s">
        <v>85</v>
      </c>
    </row>
    <row r="12" spans="1:8">
      <c r="A12" t="s">
        <v>10</v>
      </c>
      <c r="B12" t="s">
        <v>48</v>
      </c>
      <c r="C12" t="s">
        <v>117</v>
      </c>
      <c r="D12" t="s">
        <v>86</v>
      </c>
    </row>
    <row r="13" spans="1:8">
      <c r="A13" t="s">
        <v>11</v>
      </c>
      <c r="B13" t="s">
        <v>49</v>
      </c>
      <c r="C13" t="s">
        <v>68</v>
      </c>
      <c r="D13" t="s">
        <v>70</v>
      </c>
    </row>
    <row r="14" spans="1:8">
      <c r="A14" t="s">
        <v>12</v>
      </c>
      <c r="B14" t="s">
        <v>50</v>
      </c>
      <c r="C14" t="s">
        <v>117</v>
      </c>
      <c r="D14" t="s">
        <v>87</v>
      </c>
    </row>
    <row r="15" spans="1:8">
      <c r="A15" t="s">
        <v>13</v>
      </c>
      <c r="B15" t="s">
        <v>51</v>
      </c>
      <c r="C15" t="s">
        <v>117</v>
      </c>
      <c r="D15" t="s">
        <v>88</v>
      </c>
    </row>
    <row r="16" spans="1:8">
      <c r="A16" t="s">
        <v>14</v>
      </c>
      <c r="B16" t="s">
        <v>52</v>
      </c>
      <c r="C16" t="s">
        <v>117</v>
      </c>
      <c r="D16" t="s">
        <v>89</v>
      </c>
    </row>
    <row r="17" spans="1:4">
      <c r="A17" t="s">
        <v>216</v>
      </c>
      <c r="B17" t="s">
        <v>52</v>
      </c>
      <c r="C17" t="s">
        <v>68</v>
      </c>
      <c r="D17" t="s">
        <v>90</v>
      </c>
    </row>
    <row r="18" spans="1:4">
      <c r="A18" t="s">
        <v>15</v>
      </c>
      <c r="B18" t="s">
        <v>52</v>
      </c>
      <c r="C18" t="s">
        <v>117</v>
      </c>
      <c r="D18" t="s">
        <v>91</v>
      </c>
    </row>
    <row r="19" spans="1:4">
      <c r="A19" t="s">
        <v>16</v>
      </c>
      <c r="B19" t="s">
        <v>52</v>
      </c>
      <c r="C19" t="s">
        <v>117</v>
      </c>
      <c r="D19" t="s">
        <v>92</v>
      </c>
    </row>
    <row r="20" spans="1:4">
      <c r="A20" t="s">
        <v>17</v>
      </c>
      <c r="B20" t="s">
        <v>52</v>
      </c>
      <c r="C20" t="s">
        <v>68</v>
      </c>
      <c r="D20" t="s">
        <v>93</v>
      </c>
    </row>
    <row r="21" spans="1:4">
      <c r="A21" t="s">
        <v>18</v>
      </c>
      <c r="B21" t="s">
        <v>46</v>
      </c>
      <c r="C21" t="s">
        <v>117</v>
      </c>
      <c r="D21" t="s">
        <v>94</v>
      </c>
    </row>
    <row r="22" spans="1:4">
      <c r="A22" t="s">
        <v>19</v>
      </c>
      <c r="B22" t="s">
        <v>49</v>
      </c>
      <c r="C22" t="s">
        <v>117</v>
      </c>
      <c r="D22" t="s">
        <v>71</v>
      </c>
    </row>
    <row r="23" spans="1:4">
      <c r="A23" t="s">
        <v>20</v>
      </c>
      <c r="B23" t="s">
        <v>47</v>
      </c>
      <c r="C23" t="s">
        <v>68</v>
      </c>
      <c r="D23" t="s">
        <v>95</v>
      </c>
    </row>
    <row r="24" spans="1:4">
      <c r="A24" t="s">
        <v>21</v>
      </c>
      <c r="B24" t="s">
        <v>46</v>
      </c>
      <c r="C24" t="s">
        <v>68</v>
      </c>
      <c r="D24" t="s">
        <v>96</v>
      </c>
    </row>
    <row r="25" spans="1:4">
      <c r="A25" t="s">
        <v>22</v>
      </c>
      <c r="B25" t="s">
        <v>47</v>
      </c>
      <c r="C25" t="s">
        <v>68</v>
      </c>
      <c r="D25" t="s">
        <v>97</v>
      </c>
    </row>
    <row r="26" spans="1:4">
      <c r="A26" t="s">
        <v>221</v>
      </c>
      <c r="B26" t="s">
        <v>53</v>
      </c>
      <c r="C26" t="s">
        <v>68</v>
      </c>
      <c r="D26" t="s">
        <v>98</v>
      </c>
    </row>
    <row r="27" spans="1:4">
      <c r="A27" t="s">
        <v>23</v>
      </c>
      <c r="B27" t="s">
        <v>47</v>
      </c>
      <c r="C27" t="s">
        <v>68</v>
      </c>
      <c r="D27" t="s">
        <v>98</v>
      </c>
    </row>
    <row r="28" spans="1:4">
      <c r="A28" t="s">
        <v>24</v>
      </c>
      <c r="B28" t="s">
        <v>46</v>
      </c>
      <c r="C28" t="s">
        <v>68</v>
      </c>
      <c r="D28" t="s">
        <v>99</v>
      </c>
    </row>
    <row r="29" spans="1:4">
      <c r="A29" t="s">
        <v>25</v>
      </c>
      <c r="B29" t="s">
        <v>46</v>
      </c>
      <c r="C29" t="s">
        <v>117</v>
      </c>
      <c r="D29" t="s">
        <v>100</v>
      </c>
    </row>
    <row r="30" spans="1:4">
      <c r="A30" t="s">
        <v>26</v>
      </c>
      <c r="B30" t="s">
        <v>45</v>
      </c>
      <c r="C30" t="s">
        <v>68</v>
      </c>
      <c r="D30" t="s">
        <v>97</v>
      </c>
    </row>
    <row r="31" spans="1:4">
      <c r="A31" t="s">
        <v>27</v>
      </c>
      <c r="B31" t="s">
        <v>47</v>
      </c>
      <c r="C31" t="s">
        <v>68</v>
      </c>
      <c r="D31" t="s">
        <v>101</v>
      </c>
    </row>
    <row r="32" spans="1:4">
      <c r="A32" t="s">
        <v>28</v>
      </c>
      <c r="B32" t="s">
        <v>45</v>
      </c>
      <c r="C32" t="s">
        <v>68</v>
      </c>
      <c r="D32" t="s">
        <v>102</v>
      </c>
    </row>
    <row r="33" spans="1:4">
      <c r="A33" t="s">
        <v>29</v>
      </c>
      <c r="B33" t="s">
        <v>49</v>
      </c>
      <c r="C33" t="s">
        <v>68</v>
      </c>
      <c r="D33" t="s">
        <v>72</v>
      </c>
    </row>
    <row r="34" spans="1:4">
      <c r="A34" t="s">
        <v>30</v>
      </c>
      <c r="B34" t="s">
        <v>49</v>
      </c>
      <c r="C34" t="s">
        <v>68</v>
      </c>
      <c r="D34" t="s">
        <v>73</v>
      </c>
    </row>
    <row r="35" spans="1:4">
      <c r="A35" t="s">
        <v>31</v>
      </c>
      <c r="B35" t="s">
        <v>49</v>
      </c>
      <c r="C35" t="s">
        <v>68</v>
      </c>
      <c r="D35" t="s">
        <v>103</v>
      </c>
    </row>
    <row r="36" spans="1:4">
      <c r="A36" t="s">
        <v>32</v>
      </c>
      <c r="B36" t="s">
        <v>49</v>
      </c>
      <c r="C36" t="s">
        <v>68</v>
      </c>
      <c r="D36" t="s">
        <v>74</v>
      </c>
    </row>
    <row r="37" spans="1:4">
      <c r="A37" t="s">
        <v>33</v>
      </c>
      <c r="B37" t="s">
        <v>49</v>
      </c>
      <c r="C37" t="s">
        <v>68</v>
      </c>
      <c r="D37" t="s">
        <v>104</v>
      </c>
    </row>
    <row r="38" spans="1:4">
      <c r="A38" t="s">
        <v>34</v>
      </c>
      <c r="B38" t="s">
        <v>54</v>
      </c>
      <c r="C38" t="s">
        <v>68</v>
      </c>
      <c r="D38" t="s">
        <v>105</v>
      </c>
    </row>
    <row r="39" spans="1:4">
      <c r="A39" t="s">
        <v>35</v>
      </c>
      <c r="B39" t="s">
        <v>55</v>
      </c>
      <c r="C39" t="s">
        <v>68</v>
      </c>
      <c r="D39" t="s">
        <v>106</v>
      </c>
    </row>
    <row r="40" spans="1:4">
      <c r="A40" t="s">
        <v>36</v>
      </c>
      <c r="B40" t="s">
        <v>52</v>
      </c>
      <c r="C40" t="s">
        <v>117</v>
      </c>
      <c r="D40" t="s">
        <v>107</v>
      </c>
    </row>
    <row r="41" spans="1:4">
      <c r="A41" t="s">
        <v>37</v>
      </c>
      <c r="B41" t="s">
        <v>52</v>
      </c>
      <c r="C41" t="s">
        <v>117</v>
      </c>
      <c r="D41" t="s">
        <v>108</v>
      </c>
    </row>
    <row r="42" spans="1:4">
      <c r="A42" t="s">
        <v>38</v>
      </c>
      <c r="B42" t="s">
        <v>52</v>
      </c>
      <c r="C42" t="s">
        <v>117</v>
      </c>
      <c r="D42" t="s">
        <v>109</v>
      </c>
    </row>
    <row r="43" spans="1:4">
      <c r="A43" t="s">
        <v>39</v>
      </c>
      <c r="B43" t="s">
        <v>53</v>
      </c>
      <c r="C43" t="s">
        <v>68</v>
      </c>
      <c r="D43" t="s">
        <v>110</v>
      </c>
    </row>
    <row r="44" spans="1:4">
      <c r="A44" t="s">
        <v>40</v>
      </c>
      <c r="B44" t="s">
        <v>45</v>
      </c>
      <c r="C44" t="s">
        <v>68</v>
      </c>
      <c r="D44" t="s">
        <v>111</v>
      </c>
    </row>
    <row r="45" spans="1:4">
      <c r="A45" t="s">
        <v>41</v>
      </c>
      <c r="B45" t="s">
        <v>49</v>
      </c>
      <c r="C45" t="s">
        <v>68</v>
      </c>
      <c r="D45" t="s">
        <v>75</v>
      </c>
    </row>
    <row r="46" spans="1:4">
      <c r="A46" t="s">
        <v>42</v>
      </c>
      <c r="B46" t="s">
        <v>56</v>
      </c>
      <c r="C46" t="s">
        <v>68</v>
      </c>
      <c r="D46" t="s">
        <v>112</v>
      </c>
    </row>
    <row r="47" spans="1:4">
      <c r="A47" t="s">
        <v>43</v>
      </c>
      <c r="B47" s="2" t="s">
        <v>57</v>
      </c>
      <c r="C47" t="s">
        <v>117</v>
      </c>
      <c r="D47" t="s">
        <v>0</v>
      </c>
    </row>
    <row r="48" spans="1:4">
      <c r="A48" t="s">
        <v>44</v>
      </c>
      <c r="B48" t="s">
        <v>58</v>
      </c>
      <c r="C48" t="s">
        <v>117</v>
      </c>
      <c r="D48" t="s">
        <v>113</v>
      </c>
    </row>
    <row r="50" spans="1:4">
      <c r="A50" t="s">
        <v>59</v>
      </c>
      <c r="B50" t="s">
        <v>60</v>
      </c>
      <c r="D50" t="s">
        <v>76</v>
      </c>
    </row>
    <row r="51" spans="1:4">
      <c r="A51" t="s">
        <v>61</v>
      </c>
      <c r="B51" t="s">
        <v>58</v>
      </c>
      <c r="D51" t="s">
        <v>114</v>
      </c>
    </row>
    <row r="52" spans="1:4">
      <c r="A52" t="s">
        <v>62</v>
      </c>
      <c r="B52" t="s">
        <v>52</v>
      </c>
      <c r="D52" t="s">
        <v>115</v>
      </c>
    </row>
    <row r="53" spans="1:4">
      <c r="A53" t="s">
        <v>63</v>
      </c>
      <c r="B53" t="s">
        <v>45</v>
      </c>
      <c r="D53">
        <v>0</v>
      </c>
    </row>
  </sheetData>
  <mergeCells count="1">
    <mergeCell ref="H1:H4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2:AY19"/>
  <sheetViews>
    <sheetView topLeftCell="Z1" zoomScale="85" zoomScaleNormal="85" workbookViewId="0">
      <selection activeCell="AL16" sqref="AI16:AL16"/>
    </sheetView>
  </sheetViews>
  <sheetFormatPr defaultRowHeight="13.5"/>
  <cols>
    <col min="1" max="1" width="6.5" style="5" bestFit="1" customWidth="1"/>
    <col min="2" max="2" width="7.5" style="5" bestFit="1" customWidth="1"/>
    <col min="3" max="3" width="10.5" style="5" bestFit="1" customWidth="1"/>
    <col min="4" max="4" width="7.5" style="5" bestFit="1" customWidth="1"/>
    <col min="5" max="5" width="18.375" style="5" bestFit="1" customWidth="1"/>
    <col min="6" max="6" width="9.5" style="5" bestFit="1" customWidth="1"/>
    <col min="7" max="7" width="10.5" style="5" bestFit="1" customWidth="1"/>
    <col min="8" max="8" width="7.5" style="5" bestFit="1" customWidth="1"/>
    <col min="9" max="9" width="18.375" style="5" bestFit="1" customWidth="1"/>
    <col min="10" max="10" width="13.875" style="5" bestFit="1" customWidth="1"/>
    <col min="11" max="11" width="15" style="5" bestFit="1" customWidth="1"/>
    <col min="12" max="12" width="9.5" style="5" bestFit="1" customWidth="1"/>
    <col min="13" max="13" width="12.75" style="5" bestFit="1" customWidth="1"/>
    <col min="14" max="15" width="11.625" style="5" bestFit="1" customWidth="1"/>
    <col min="16" max="16" width="7.5" style="5" bestFit="1" customWidth="1"/>
    <col min="17" max="17" width="13.875" style="5" bestFit="1" customWidth="1"/>
    <col min="18" max="18" width="7.5" style="5" bestFit="1" customWidth="1"/>
    <col min="19" max="19" width="10.5" style="5" bestFit="1" customWidth="1"/>
    <col min="20" max="20" width="20.5" style="5" bestFit="1" customWidth="1"/>
    <col min="21" max="21" width="10.5" style="5" bestFit="1" customWidth="1"/>
    <col min="22" max="22" width="11.625" style="5" bestFit="1" customWidth="1"/>
    <col min="23" max="23" width="22.75" style="5" bestFit="1" customWidth="1"/>
    <col min="24" max="24" width="15" style="5" bestFit="1" customWidth="1"/>
    <col min="25" max="25" width="22.75" style="5" bestFit="1" customWidth="1"/>
    <col min="26" max="26" width="15" style="5" bestFit="1" customWidth="1"/>
    <col min="27" max="27" width="22.75" style="5" bestFit="1" customWidth="1"/>
    <col min="28" max="28" width="12.75" style="5" bestFit="1" customWidth="1"/>
    <col min="29" max="29" width="11.625" style="5" bestFit="1" customWidth="1"/>
    <col min="30" max="31" width="12.75" style="5" bestFit="1" customWidth="1"/>
    <col min="32" max="33" width="11.625" style="5" bestFit="1" customWidth="1"/>
    <col min="34" max="34" width="7.5" style="5" bestFit="1" customWidth="1"/>
    <col min="35" max="35" width="12.75" style="5" bestFit="1" customWidth="1"/>
    <col min="36" max="37" width="11.625" style="5" bestFit="1" customWidth="1"/>
    <col min="38" max="38" width="10.5" style="5" bestFit="1" customWidth="1"/>
    <col min="39" max="39" width="15" style="5" bestFit="1" customWidth="1"/>
    <col min="40" max="40" width="12.75" style="5" bestFit="1" customWidth="1"/>
    <col min="41" max="41" width="8.5" style="5" bestFit="1" customWidth="1"/>
    <col min="42" max="42" width="9.5" style="5" bestFit="1" customWidth="1"/>
    <col min="43" max="43" width="13.875" style="5" bestFit="1" customWidth="1"/>
    <col min="44" max="44" width="16.125" style="5" bestFit="1" customWidth="1"/>
    <col min="45" max="45" width="72.625" style="5" bestFit="1" customWidth="1"/>
    <col min="46" max="46" width="21.625" style="5" bestFit="1" customWidth="1"/>
    <col min="47" max="47" width="16.125" style="5" bestFit="1" customWidth="1"/>
    <col min="48" max="48" width="11.625" style="5" bestFit="1" customWidth="1"/>
    <col min="49" max="49" width="13.875" style="5" bestFit="1" customWidth="1"/>
    <col min="50" max="50" width="15" style="5" bestFit="1" customWidth="1"/>
    <col min="51" max="51" width="19.375" style="5" bestFit="1" customWidth="1"/>
    <col min="52" max="16384" width="9" style="5"/>
  </cols>
  <sheetData>
    <row r="2" spans="1:51">
      <c r="G2" s="4" t="s">
        <v>119</v>
      </c>
      <c r="H2" s="4" t="s">
        <v>118</v>
      </c>
      <c r="I2" s="4" t="s">
        <v>124</v>
      </c>
      <c r="J2" s="4"/>
    </row>
    <row r="3" spans="1:51">
      <c r="G3" s="5" t="s">
        <v>120</v>
      </c>
      <c r="H3" s="5">
        <v>17</v>
      </c>
      <c r="I3" s="11">
        <v>15</v>
      </c>
      <c r="J3" s="11">
        <f>15/20</f>
        <v>0.75</v>
      </c>
    </row>
    <row r="4" spans="1:51">
      <c r="G4" s="5" t="s">
        <v>121</v>
      </c>
      <c r="H4" s="5">
        <v>3</v>
      </c>
      <c r="I4" s="11"/>
      <c r="J4" s="11"/>
      <c r="K4" s="5">
        <f>(15/20) * 3</f>
        <v>2.25</v>
      </c>
    </row>
    <row r="6" spans="1:51">
      <c r="G6" s="5" t="s">
        <v>122</v>
      </c>
      <c r="H6" s="5">
        <v>17</v>
      </c>
      <c r="I6" s="11">
        <v>25</v>
      </c>
      <c r="J6" s="11">
        <f>25/30</f>
        <v>0.83333333333333337</v>
      </c>
    </row>
    <row r="7" spans="1:51">
      <c r="G7" s="5" t="s">
        <v>123</v>
      </c>
      <c r="H7" s="5">
        <v>13</v>
      </c>
      <c r="I7" s="11"/>
      <c r="J7" s="11"/>
      <c r="K7" s="5">
        <f>25/30 * 17</f>
        <v>14.166666666666668</v>
      </c>
      <c r="M7" s="4">
        <f>K7 + K4</f>
        <v>16.416666666666668</v>
      </c>
    </row>
    <row r="8" spans="1:51">
      <c r="K8" s="5">
        <f>25/30 * 13</f>
        <v>10.833333333333334</v>
      </c>
      <c r="M8" s="4">
        <v>11</v>
      </c>
    </row>
    <row r="15" spans="1:51" s="4" customFormat="1">
      <c r="A15" s="4" t="s">
        <v>129</v>
      </c>
      <c r="B15" s="4" t="s">
        <v>130</v>
      </c>
      <c r="C15" s="4" t="s">
        <v>131</v>
      </c>
      <c r="D15" s="4" t="s">
        <v>132</v>
      </c>
      <c r="E15" s="4" t="s">
        <v>133</v>
      </c>
      <c r="F15" s="4" t="s">
        <v>134</v>
      </c>
      <c r="G15" s="4" t="s">
        <v>135</v>
      </c>
      <c r="H15" s="4" t="s">
        <v>136</v>
      </c>
      <c r="I15" s="4" t="s">
        <v>137</v>
      </c>
      <c r="J15" s="4" t="s">
        <v>138</v>
      </c>
      <c r="K15" s="4" t="s">
        <v>139</v>
      </c>
      <c r="L15" s="4" t="s">
        <v>140</v>
      </c>
      <c r="M15" s="4" t="s">
        <v>141</v>
      </c>
      <c r="N15" s="4" t="s">
        <v>142</v>
      </c>
      <c r="O15" s="4" t="s">
        <v>143</v>
      </c>
      <c r="P15" s="6" t="s">
        <v>144</v>
      </c>
      <c r="Q15" s="4" t="s">
        <v>145</v>
      </c>
      <c r="R15" s="4" t="s">
        <v>146</v>
      </c>
      <c r="S15" s="6" t="s">
        <v>147</v>
      </c>
      <c r="T15" s="4" t="s">
        <v>148</v>
      </c>
      <c r="U15" s="4" t="s">
        <v>149</v>
      </c>
      <c r="V15" s="6" t="s">
        <v>150</v>
      </c>
      <c r="W15" s="6" t="s">
        <v>151</v>
      </c>
      <c r="X15" s="6" t="s">
        <v>152</v>
      </c>
      <c r="Y15" s="6" t="s">
        <v>153</v>
      </c>
      <c r="Z15" s="6" t="s">
        <v>154</v>
      </c>
      <c r="AA15" s="4" t="s">
        <v>155</v>
      </c>
      <c r="AB15" s="6" t="s">
        <v>156</v>
      </c>
      <c r="AC15" s="6" t="s">
        <v>157</v>
      </c>
      <c r="AD15" s="6" t="s">
        <v>158</v>
      </c>
      <c r="AE15" s="6" t="s">
        <v>159</v>
      </c>
      <c r="AF15" s="6" t="s">
        <v>160</v>
      </c>
      <c r="AG15" s="6" t="s">
        <v>161</v>
      </c>
      <c r="AH15" s="6" t="s">
        <v>162</v>
      </c>
      <c r="AI15" s="6" t="s">
        <v>163</v>
      </c>
      <c r="AJ15" s="6" t="s">
        <v>164</v>
      </c>
      <c r="AK15" s="6" t="s">
        <v>165</v>
      </c>
      <c r="AL15" s="6" t="s">
        <v>166</v>
      </c>
      <c r="AM15" s="4" t="s">
        <v>167</v>
      </c>
      <c r="AN15" s="4" t="s">
        <v>168</v>
      </c>
      <c r="AO15" s="4" t="s">
        <v>169</v>
      </c>
      <c r="AP15" s="4" t="s">
        <v>170</v>
      </c>
      <c r="AQ15" s="4" t="s">
        <v>171</v>
      </c>
      <c r="AR15" s="4" t="s">
        <v>172</v>
      </c>
      <c r="AS15" s="4" t="s">
        <v>173</v>
      </c>
      <c r="AT15" s="4" t="s">
        <v>174</v>
      </c>
      <c r="AU15" s="6" t="s">
        <v>175</v>
      </c>
      <c r="AV15" s="4" t="s">
        <v>176</v>
      </c>
      <c r="AW15" s="4" t="s">
        <v>177</v>
      </c>
      <c r="AX15" s="4" t="s">
        <v>178</v>
      </c>
      <c r="AY15" s="4" t="s">
        <v>179</v>
      </c>
    </row>
    <row r="16" spans="1:51">
      <c r="A16" s="5" t="s">
        <v>182</v>
      </c>
      <c r="B16" s="5" t="s">
        <v>183</v>
      </c>
      <c r="C16" s="5" t="s">
        <v>184</v>
      </c>
      <c r="D16" s="5" t="s">
        <v>185</v>
      </c>
      <c r="E16" s="5" t="s">
        <v>186</v>
      </c>
      <c r="F16" s="5" t="s">
        <v>187</v>
      </c>
      <c r="G16" s="5" t="s">
        <v>188</v>
      </c>
      <c r="H16" s="5" t="s">
        <v>189</v>
      </c>
      <c r="I16" s="5" t="s">
        <v>190</v>
      </c>
      <c r="J16" s="5" t="s">
        <v>191</v>
      </c>
      <c r="K16" s="5" t="s">
        <v>192</v>
      </c>
      <c r="L16" s="5" t="s">
        <v>191</v>
      </c>
      <c r="M16" s="5" t="s">
        <v>193</v>
      </c>
      <c r="N16" s="5" t="s">
        <v>194</v>
      </c>
      <c r="O16" s="5" t="s">
        <v>195</v>
      </c>
      <c r="P16" s="5" t="s">
        <v>196</v>
      </c>
      <c r="Q16" s="5" t="s">
        <v>196</v>
      </c>
      <c r="R16" s="5" t="s">
        <v>197</v>
      </c>
      <c r="S16" s="5" t="s">
        <v>196</v>
      </c>
      <c r="T16" s="5" t="s">
        <v>198</v>
      </c>
      <c r="U16" s="5" t="s">
        <v>199</v>
      </c>
      <c r="V16" s="5" t="s">
        <v>200</v>
      </c>
      <c r="W16" s="5" t="s">
        <v>201</v>
      </c>
      <c r="X16" s="5" t="s">
        <v>199</v>
      </c>
      <c r="Y16" s="5" t="s">
        <v>202</v>
      </c>
      <c r="Z16" s="5" t="s">
        <v>203</v>
      </c>
      <c r="AA16" s="5" t="s">
        <v>201</v>
      </c>
      <c r="AC16" s="5" t="s">
        <v>204</v>
      </c>
      <c r="AD16" s="5" t="s">
        <v>199</v>
      </c>
      <c r="AE16" s="5" t="s">
        <v>205</v>
      </c>
      <c r="AF16" s="5" t="s">
        <v>192</v>
      </c>
      <c r="AG16" s="5" t="s">
        <v>206</v>
      </c>
      <c r="AH16" s="5" t="s">
        <v>191</v>
      </c>
      <c r="AI16" s="5" t="s">
        <v>199</v>
      </c>
      <c r="AJ16" s="5" t="s">
        <v>192</v>
      </c>
      <c r="AK16" s="5" t="s">
        <v>180</v>
      </c>
      <c r="AL16" s="5" t="s">
        <v>180</v>
      </c>
      <c r="AM16" s="5" t="s">
        <v>196</v>
      </c>
      <c r="AN16" s="5" t="s">
        <v>196</v>
      </c>
      <c r="AO16" s="5" t="s">
        <v>196</v>
      </c>
      <c r="AQ16" s="5" t="s">
        <v>199</v>
      </c>
      <c r="AR16" s="5" t="s">
        <v>199</v>
      </c>
      <c r="AS16" s="5" t="s">
        <v>181</v>
      </c>
      <c r="AT16" s="5" t="s">
        <v>207</v>
      </c>
      <c r="AU16" s="5" t="s">
        <v>180</v>
      </c>
      <c r="AV16" s="5" t="s">
        <v>199</v>
      </c>
      <c r="AW16" s="5" t="s">
        <v>180</v>
      </c>
      <c r="AX16" s="5" t="s">
        <v>196</v>
      </c>
      <c r="AY16" s="5" t="s">
        <v>208</v>
      </c>
    </row>
    <row r="18" spans="1:50">
      <c r="A18" s="5" t="s">
        <v>129</v>
      </c>
      <c r="B18" s="5" t="s">
        <v>130</v>
      </c>
      <c r="C18" s="5" t="s">
        <v>131</v>
      </c>
      <c r="D18" s="5" t="s">
        <v>132</v>
      </c>
      <c r="E18" s="5" t="s">
        <v>133</v>
      </c>
      <c r="F18" s="5" t="s">
        <v>134</v>
      </c>
      <c r="G18" s="5" t="s">
        <v>135</v>
      </c>
      <c r="H18" s="5" t="s">
        <v>136</v>
      </c>
      <c r="I18" s="5" t="s">
        <v>137</v>
      </c>
      <c r="J18" s="5" t="s">
        <v>138</v>
      </c>
      <c r="K18" s="5" t="s">
        <v>139</v>
      </c>
      <c r="L18" s="5" t="s">
        <v>140</v>
      </c>
      <c r="M18" s="5" t="s">
        <v>141</v>
      </c>
      <c r="N18" s="5" t="s">
        <v>142</v>
      </c>
      <c r="O18" s="5" t="s">
        <v>143</v>
      </c>
      <c r="P18" s="5" t="s">
        <v>144</v>
      </c>
      <c r="Q18" s="5" t="s">
        <v>145</v>
      </c>
      <c r="R18" s="5" t="s">
        <v>146</v>
      </c>
      <c r="S18" s="5" t="s">
        <v>147</v>
      </c>
      <c r="T18" s="5" t="s">
        <v>148</v>
      </c>
      <c r="U18" s="5" t="s">
        <v>149</v>
      </c>
      <c r="V18" s="5" t="s">
        <v>150</v>
      </c>
      <c r="W18" s="5" t="s">
        <v>151</v>
      </c>
      <c r="X18" s="5" t="s">
        <v>152</v>
      </c>
      <c r="Y18" s="5" t="s">
        <v>153</v>
      </c>
      <c r="Z18" s="5" t="s">
        <v>154</v>
      </c>
      <c r="AA18" s="5" t="s">
        <v>155</v>
      </c>
      <c r="AB18" s="6" t="s">
        <v>156</v>
      </c>
      <c r="AC18" s="5" t="s">
        <v>157</v>
      </c>
      <c r="AD18" s="5" t="s">
        <v>158</v>
      </c>
      <c r="AE18" s="5" t="s">
        <v>159</v>
      </c>
      <c r="AF18" s="5" t="s">
        <v>160</v>
      </c>
      <c r="AG18" s="5" t="s">
        <v>161</v>
      </c>
      <c r="AH18" s="5" t="s">
        <v>162</v>
      </c>
      <c r="AI18" s="5" t="s">
        <v>163</v>
      </c>
      <c r="AJ18" s="5" t="s">
        <v>164</v>
      </c>
      <c r="AK18" s="5" t="s">
        <v>165</v>
      </c>
      <c r="AL18" s="5" t="s">
        <v>166</v>
      </c>
      <c r="AM18" s="5" t="s">
        <v>167</v>
      </c>
      <c r="AN18" s="5" t="s">
        <v>168</v>
      </c>
      <c r="AO18" s="5" t="s">
        <v>169</v>
      </c>
      <c r="AP18" s="5" t="s">
        <v>170</v>
      </c>
      <c r="AQ18" s="5" t="s">
        <v>171</v>
      </c>
      <c r="AR18" s="5" t="s">
        <v>172</v>
      </c>
      <c r="AS18" s="5" t="s">
        <v>173</v>
      </c>
      <c r="AT18" s="5" t="s">
        <v>174</v>
      </c>
      <c r="AU18" s="6" t="s">
        <v>175</v>
      </c>
      <c r="AV18" s="5" t="s">
        <v>209</v>
      </c>
      <c r="AW18" s="5" t="s">
        <v>210</v>
      </c>
      <c r="AX18" s="5" t="s">
        <v>211</v>
      </c>
    </row>
    <row r="19" spans="1:50">
      <c r="A19" s="5" t="s">
        <v>182</v>
      </c>
      <c r="B19" s="5" t="s">
        <v>183</v>
      </c>
      <c r="C19" s="5" t="s">
        <v>184</v>
      </c>
      <c r="D19" s="5" t="s">
        <v>185</v>
      </c>
      <c r="E19" s="5" t="s">
        <v>186</v>
      </c>
      <c r="F19" s="5" t="s">
        <v>187</v>
      </c>
      <c r="G19" s="5" t="s">
        <v>188</v>
      </c>
      <c r="H19" s="5" t="s">
        <v>189</v>
      </c>
      <c r="I19" s="5" t="s">
        <v>190</v>
      </c>
      <c r="J19" s="5" t="s">
        <v>191</v>
      </c>
      <c r="K19" s="5" t="s">
        <v>192</v>
      </c>
      <c r="L19" s="5" t="s">
        <v>191</v>
      </c>
      <c r="M19" s="5" t="s">
        <v>193</v>
      </c>
      <c r="N19" s="5" t="s">
        <v>194</v>
      </c>
      <c r="O19" s="5" t="s">
        <v>195</v>
      </c>
      <c r="P19" s="5" t="s">
        <v>196</v>
      </c>
      <c r="Q19" s="5" t="s">
        <v>196</v>
      </c>
      <c r="R19" s="5" t="s">
        <v>197</v>
      </c>
      <c r="S19" s="5" t="s">
        <v>196</v>
      </c>
      <c r="T19" s="5" t="s">
        <v>198</v>
      </c>
      <c r="U19" s="5" t="s">
        <v>199</v>
      </c>
      <c r="V19" s="5" t="s">
        <v>200</v>
      </c>
      <c r="W19" s="5" t="s">
        <v>201</v>
      </c>
      <c r="X19" s="5" t="s">
        <v>199</v>
      </c>
      <c r="Y19" s="5" t="s">
        <v>202</v>
      </c>
      <c r="Z19" s="5" t="s">
        <v>203</v>
      </c>
      <c r="AA19" s="5" t="s">
        <v>201</v>
      </c>
      <c r="AC19" s="5" t="s">
        <v>204</v>
      </c>
      <c r="AD19" s="5" t="s">
        <v>199</v>
      </c>
      <c r="AE19" s="5" t="s">
        <v>205</v>
      </c>
      <c r="AF19" s="5" t="s">
        <v>192</v>
      </c>
      <c r="AG19" s="5" t="s">
        <v>206</v>
      </c>
      <c r="AH19" s="5" t="s">
        <v>191</v>
      </c>
      <c r="AI19" s="5" t="s">
        <v>199</v>
      </c>
      <c r="AJ19" s="5" t="s">
        <v>192</v>
      </c>
      <c r="AK19" s="5" t="s">
        <v>180</v>
      </c>
      <c r="AM19" s="5" t="s">
        <v>196</v>
      </c>
      <c r="AN19" s="5" t="s">
        <v>196</v>
      </c>
      <c r="AO19" s="5" t="s">
        <v>196</v>
      </c>
      <c r="AQ19" s="5" t="s">
        <v>199</v>
      </c>
      <c r="AR19" s="5" t="s">
        <v>199</v>
      </c>
      <c r="AS19" s="5" t="s">
        <v>181</v>
      </c>
      <c r="AT19" s="5" t="s">
        <v>212</v>
      </c>
      <c r="AV19" s="5" t="s">
        <v>213</v>
      </c>
      <c r="AW19" s="5" t="s">
        <v>214</v>
      </c>
      <c r="AX19" s="5" t="s">
        <v>215</v>
      </c>
    </row>
  </sheetData>
  <mergeCells count="4">
    <mergeCell ref="I3:I4"/>
    <mergeCell ref="I6:I7"/>
    <mergeCell ref="J3:J4"/>
    <mergeCell ref="J6:J7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borrowlist,s_hyr_borrowlist_h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dashuju04</cp:lastModifiedBy>
  <dcterms:created xsi:type="dcterms:W3CDTF">2006-09-13T11:21:51Z</dcterms:created>
  <dcterms:modified xsi:type="dcterms:W3CDTF">2016-02-16T09:39:25Z</dcterms:modified>
</cp:coreProperties>
</file>